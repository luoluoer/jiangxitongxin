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60"/>
  </bookViews>
  <sheets>
    <sheet name="KPI指标体系" sheetId="1" r:id="rId1"/>
  </sheets>
  <definedNames>
    <definedName name="_GoBack" localSheetId="0">KPI指标体系!#REF!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<sst xmlns="http://schemas.openxmlformats.org/spreadsheetml/2006/main" count="242" uniqueCount="93">
  <si>
    <t>编号</t>
  </si>
  <si>
    <t>名称</t>
  </si>
  <si>
    <t>KPI</t>
  </si>
  <si>
    <t>目标值</t>
  </si>
  <si>
    <t>频度</t>
  </si>
  <si>
    <t>时间</t>
  </si>
  <si>
    <t>平均值</t>
  </si>
  <si>
    <t>质量</t>
  </si>
  <si>
    <t>客户满意度</t>
  </si>
  <si>
    <t>≥90%</t>
  </si>
  <si>
    <t>半年度</t>
  </si>
  <si>
    <t>客户投诉次数</t>
  </si>
  <si>
    <t>≤2次</t>
  </si>
  <si>
    <t>年度</t>
  </si>
  <si>
    <t>-</t>
  </si>
  <si>
    <t>0次</t>
  </si>
  <si>
    <r>
      <t>0</t>
    </r>
    <r>
      <rPr>
        <sz val="10.5"/>
        <color rgb="FF0F1115"/>
        <rFont val="宋体"/>
        <charset val="134"/>
      </rPr>
      <t>次</t>
    </r>
  </si>
  <si>
    <t>内审次数</t>
  </si>
  <si>
    <t>≥1次</t>
  </si>
  <si>
    <t>1次</t>
  </si>
  <si>
    <r>
      <t>1</t>
    </r>
    <r>
      <rPr>
        <sz val="10.5"/>
        <color rgb="FF0F1115"/>
        <rFont val="宋体"/>
        <charset val="134"/>
      </rPr>
      <t>次</t>
    </r>
  </si>
  <si>
    <t>管理评审次数</t>
  </si>
  <si>
    <t>人员</t>
  </si>
  <si>
    <t>储备</t>
  </si>
  <si>
    <t>储备计划完成率</t>
  </si>
  <si>
    <t>≥95%</t>
  </si>
  <si>
    <t>季度</t>
  </si>
  <si>
    <t>培训</t>
  </si>
  <si>
    <t>培训计划完成率</t>
  </si>
  <si>
    <t>招聘</t>
  </si>
  <si>
    <t>招聘计划达成率</t>
  </si>
  <si>
    <t>备份</t>
  </si>
  <si>
    <t>备份计划达成率</t>
  </si>
  <si>
    <t>绩效考核</t>
  </si>
  <si>
    <t>绩效考核合格率</t>
  </si>
  <si>
    <t>技能评定</t>
  </si>
  <si>
    <t>技能评定覆盖率</t>
  </si>
  <si>
    <t>≥80%</t>
  </si>
  <si>
    <t>过程</t>
  </si>
  <si>
    <t>过程框架</t>
  </si>
  <si>
    <t>过程框架自评估次数</t>
  </si>
  <si>
    <t>服务级别</t>
  </si>
  <si>
    <t>SLA达成率</t>
  </si>
  <si>
    <t>服务报告</t>
  </si>
  <si>
    <t>服务报告交付及时率</t>
  </si>
  <si>
    <t>事件</t>
  </si>
  <si>
    <t>事件解决率</t>
  </si>
  <si>
    <t>月度</t>
  </si>
  <si>
    <t>事件解决用户满意度</t>
  </si>
  <si>
    <t>问题</t>
  </si>
  <si>
    <t>问题转知识的比率</t>
  </si>
  <si>
    <t>问题解决率</t>
  </si>
  <si>
    <t>配置</t>
  </si>
  <si>
    <t>配置数据的准确率</t>
  </si>
  <si>
    <t>半年</t>
  </si>
  <si>
    <t>变更</t>
  </si>
  <si>
    <t>变更成功率</t>
  </si>
  <si>
    <t>≥98%</t>
  </si>
  <si>
    <t>发布</t>
  </si>
  <si>
    <t>发布成功率</t>
  </si>
  <si>
    <t>服务</t>
  </si>
  <si>
    <t>服务可用率</t>
  </si>
  <si>
    <t>服务故障中断次数</t>
  </si>
  <si>
    <t>≤1次</t>
  </si>
  <si>
    <t>容量</t>
  </si>
  <si>
    <t>容量事件数</t>
  </si>
  <si>
    <t>信息安全</t>
  </si>
  <si>
    <t>信息安全事件数量</t>
  </si>
  <si>
    <t>技术</t>
  </si>
  <si>
    <t>阶段成果达成率</t>
  </si>
  <si>
    <t>资金使用率</t>
  </si>
  <si>
    <t>≥85%</t>
  </si>
  <si>
    <t>资源</t>
  </si>
  <si>
    <t>工具</t>
  </si>
  <si>
    <t>工具使用率</t>
  </si>
  <si>
    <t>服务台</t>
  </si>
  <si>
    <t>服务台派单成功率</t>
  </si>
  <si>
    <t>服务知识</t>
  </si>
  <si>
    <t>新增知识条目</t>
  </si>
  <si>
    <t>≥10条</t>
  </si>
  <si>
    <t>15条</t>
  </si>
  <si>
    <t>12条</t>
  </si>
  <si>
    <t>18条%</t>
  </si>
  <si>
    <r>
      <t>15</t>
    </r>
    <r>
      <rPr>
        <sz val="10.5"/>
        <color rgb="FF0F1115"/>
        <rFont val="宋体"/>
        <charset val="134"/>
      </rPr>
      <t>条</t>
    </r>
  </si>
  <si>
    <t>最终软件库</t>
  </si>
  <si>
    <t>软件合规性审计次数</t>
  </si>
  <si>
    <t>服务数据</t>
  </si>
  <si>
    <t>服务数据分析利用次数</t>
  </si>
  <si>
    <t>≥次</t>
  </si>
  <si>
    <t>交付</t>
  </si>
  <si>
    <t>项目及时交付率</t>
  </si>
  <si>
    <t>应急</t>
  </si>
  <si>
    <t>项目应急演练次数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</si>
</sst>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indexed="8"/>
      <name val="宋体"/>
      <charset val="134"/>
    </font>
    <font>
      <b/>
      <sz val="11"/>
      <color indexed="8"/>
      <name val="楷体_GB2312"/>
      <charset val="134"/>
    </font>
    <font>
      <sz val="10.5"/>
      <color indexed="8"/>
      <name val="宋体"/>
      <charset val="134"/>
    </font>
    <font>
      <sz val="10.5"/>
      <color rgb="FF0F1115"/>
      <name val="Consolas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0.5"/>
      <color rgb="FF0F1115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17" applyNumberFormat="0" applyAlignment="0" applyProtection="0">
      <alignment vertical="center"/>
    </xf>
    <xf numFmtId="0" fontId="14" fillId="6" borderId="18" applyNumberFormat="0" applyAlignment="0" applyProtection="0">
      <alignment vertical="center"/>
    </xf>
    <xf numFmtId="0" fontId="15" fillId="6" borderId="17" applyNumberFormat="0" applyAlignment="0" applyProtection="0">
      <alignment vertical="center"/>
    </xf>
    <xf numFmtId="0" fontId="16" fillId="7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3" borderId="5" xfId="0" applyFont="1" applyFill="1" applyBorder="1" applyAlignment="1">
      <alignment horizontal="center" vertical="center" wrapText="1"/>
    </xf>
    <xf numFmtId="0" fontId="1" fillId="3" borderId="6" xfId="0" applyFont="1" applyFill="1" applyBorder="1" applyAlignment="1">
      <alignment horizontal="center" vertical="center" wrapText="1"/>
    </xf>
    <xf numFmtId="57" fontId="1" fillId="3" borderId="1" xfId="0" applyNumberFormat="1" applyFont="1" applyFill="1" applyBorder="1" applyAlignment="1">
      <alignment horizontal="center" vertical="center" wrapText="1"/>
    </xf>
    <xf numFmtId="0" fontId="0" fillId="2" borderId="7" xfId="0" applyFill="1" applyBorder="1" applyAlignment="1">
      <alignment horizontal="center" vertical="center"/>
    </xf>
    <xf numFmtId="0" fontId="1" fillId="3" borderId="8" xfId="0" applyFont="1" applyFill="1" applyBorder="1" applyAlignment="1">
      <alignment horizontal="center" vertical="center" wrapText="1"/>
    </xf>
    <xf numFmtId="0" fontId="1" fillId="3" borderId="9" xfId="0" applyFont="1" applyFill="1" applyBorder="1" applyAlignment="1">
      <alignment horizontal="center" vertical="center" wrapText="1"/>
    </xf>
    <xf numFmtId="0" fontId="1" fillId="3" borderId="7" xfId="0" applyFont="1" applyFill="1" applyBorder="1" applyAlignment="1">
      <alignment horizontal="center" vertical="center" wrapText="1"/>
    </xf>
    <xf numFmtId="57" fontId="1" fillId="3" borderId="10" xfId="0" applyNumberFormat="1" applyFont="1" applyFill="1" applyBorder="1" applyAlignment="1">
      <alignment vertical="center" wrapText="1"/>
    </xf>
    <xf numFmtId="57" fontId="1" fillId="3" borderId="7" xfId="0" applyNumberFormat="1" applyFont="1" applyFill="1" applyBorder="1" applyAlignment="1">
      <alignment horizontal="center" vertical="center" wrapText="1"/>
    </xf>
    <xf numFmtId="0" fontId="0" fillId="0" borderId="10" xfId="0" applyFill="1" applyBorder="1" applyAlignment="1">
      <alignment horizontal="center" vertical="center"/>
    </xf>
    <xf numFmtId="0" fontId="2" fillId="0" borderId="2" xfId="0" applyFont="1" applyFill="1" applyBorder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vertical="center" wrapText="1"/>
    </xf>
    <xf numFmtId="0" fontId="2" fillId="0" borderId="11" xfId="0" applyFont="1" applyFill="1" applyBorder="1" applyAlignment="1">
      <alignment horizontal="center"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2" fillId="0" borderId="8" xfId="0" applyFont="1" applyFill="1" applyBorder="1" applyAlignment="1">
      <alignment horizontal="center" vertical="center" wrapText="1"/>
    </xf>
    <xf numFmtId="0" fontId="2" fillId="0" borderId="9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0" xfId="0" applyFont="1" applyFill="1" applyBorder="1" applyAlignment="1">
      <alignment horizontal="center" vertical="center" wrapText="1"/>
    </xf>
    <xf numFmtId="9" fontId="0" fillId="0" borderId="0" xfId="0" applyNumberFormat="1" applyAlignment="1">
      <alignment horizontal="center" vertical="center"/>
    </xf>
    <xf numFmtId="9" fontId="3" fillId="0" borderId="0" xfId="0" applyNumberFormat="1" applyFont="1" applyAlignment="1">
      <alignment horizontal="center" vertical="center" wrapText="1"/>
    </xf>
    <xf numFmtId="0" fontId="2" fillId="0" borderId="13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57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NumberFormat="1" applyFont="1" applyFill="1" applyBorder="1" applyAlignment="1" applyProtection="1">
      <alignment horizontal="center" vertical="center"/>
    </xf>
    <xf numFmtId="9" fontId="3" fillId="0" borderId="0" xfId="0" applyNumberFormat="1" applyFont="1" applyAlignment="1">
      <alignment horizontal="center" vertical="center" wrapText="1"/>
    </xf>
    <xf numFmtId="0" fontId="2" fillId="0" borderId="4" xfId="0" applyFont="1" applyFill="1" applyBorder="1" applyAlignment="1">
      <alignment horizontal="center" vertical="center" wrapText="1"/>
    </xf>
    <xf numFmtId="0" fontId="2" fillId="0" borderId="6" xfId="0" applyFont="1" applyFill="1" applyBorder="1" applyAlignment="1">
      <alignment horizontal="center" vertical="center" wrapText="1"/>
    </xf>
    <xf numFmtId="9" fontId="2" fillId="0" borderId="10" xfId="0" applyNumberFormat="1" applyFont="1" applyFill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mruColors>
      <color rgb="00C0C0C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eetMetadata" Target="metadata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rect l="0" t="0" r="0" b="0"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/>
          </a:solidFill>
          <a:prstDash val="solid"/>
          <a:miter lim="200000"/>
        </a:ln>
      </a:spPr>
      <a:bodyPr/>
      <a:lstStyle/>
    </a:sp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R35"/>
  <sheetViews>
    <sheetView tabSelected="1" view="pageBreakPreview" zoomScaleNormal="90" topLeftCell="D1" workbookViewId="0">
      <pane ySplit="2" topLeftCell="A3" activePane="bottomLeft" state="frozen"/>
      <selection/>
      <selection pane="bottomLeft" activeCell="O19" sqref="O19"/>
    </sheetView>
  </sheetViews>
  <sheetFormatPr defaultColWidth="9" defaultRowHeight="14.4"/>
  <cols>
    <col min="1" max="1" width="9" style="2"/>
    <col min="2" max="2" width="4.77777777777778" style="3" customWidth="1"/>
    <col min="3" max="3" width="10.7777777777778" customWidth="1"/>
    <col min="4" max="4" width="21" customWidth="1"/>
    <col min="5" max="5" width="8.66666666666667" customWidth="1"/>
    <col min="6" max="6" width="10.5" customWidth="1"/>
    <col min="7" max="10" width="11.6666666666667" customWidth="1"/>
    <col min="11" max="15" width="11.6666666666667"/>
    <col min="16" max="17" width="12.8888888888889"/>
    <col min="18" max="18" width="9.44444444444444" style="4"/>
  </cols>
  <sheetData>
    <row r="1" ht="24.75" customHeight="1" spans="1:18">
      <c r="A1" s="5" t="s">
        <v>0</v>
      </c>
      <c r="B1" s="6" t="s">
        <v>1</v>
      </c>
      <c r="C1" s="7"/>
      <c r="D1" s="8" t="s">
        <v>2</v>
      </c>
      <c r="E1" s="8" t="s">
        <v>3</v>
      </c>
      <c r="F1" s="8" t="s">
        <v>4</v>
      </c>
      <c r="G1" s="9" t="s">
        <v>5</v>
      </c>
      <c r="H1" s="10"/>
      <c r="I1" s="10"/>
      <c r="J1" s="10"/>
      <c r="K1" s="10"/>
      <c r="L1" s="10"/>
      <c r="M1" s="10"/>
      <c r="N1" s="10"/>
      <c r="O1" s="10"/>
      <c r="P1" s="10"/>
      <c r="Q1" s="11"/>
      <c r="R1" s="12" t="s">
        <v>6</v>
      </c>
    </row>
    <row r="2" ht="24.75" customHeight="1" spans="1:18">
      <c r="A2" s="13"/>
      <c r="B2" s="14"/>
      <c r="C2" s="15"/>
      <c r="D2" s="16"/>
      <c r="E2" s="16"/>
      <c r="F2" s="16"/>
      <c r="G2" s="17">
        <v>45658</v>
      </c>
      <c r="H2" s="17">
        <v>45689</v>
      </c>
      <c r="I2" s="17">
        <v>45717</v>
      </c>
      <c r="J2" s="17">
        <v>45748</v>
      </c>
      <c r="K2" s="17">
        <v>45778</v>
      </c>
      <c r="L2" s="17">
        <v>45809</v>
      </c>
      <c r="M2" s="17">
        <v>45839</v>
      </c>
      <c r="N2" s="17">
        <v>45870</v>
      </c>
      <c r="O2" s="17">
        <v>45901</v>
      </c>
      <c r="P2" s="17">
        <v>45931</v>
      </c>
      <c r="Q2" s="17">
        <v>45962</v>
      </c>
      <c r="R2" s="18"/>
    </row>
    <row r="3" spans="1:18">
      <c r="A3" s="19">
        <f>ROW()-2</f>
        <v>1</v>
      </c>
      <c r="B3" s="20" t="s">
        <v>7</v>
      </c>
      <c r="C3" s="21"/>
      <c r="D3" s="22" t="s">
        <v>8</v>
      </c>
      <c r="E3" s="22" t="s">
        <v>9</v>
      </c>
      <c r="F3" s="22" t="s">
        <v>10</v>
      </c>
      <c r="G3" s="4"/>
      <c r="H3" s="4"/>
      <c r="I3" s="4"/>
      <c r="J3" s="4"/>
      <c r="K3" s="4"/>
      <c r="L3" s="4"/>
      <c r="M3" s="4"/>
      <c r="N3" s="4"/>
      <c r="O3" s="4"/>
      <c r="P3" s="4"/>
      <c r="Q3" s="4"/>
    </row>
    <row r="4" spans="1:18">
      <c r="A4" s="19">
        <f t="shared" ref="A4:A13" si="0">ROW()-2</f>
        <v>2</v>
      </c>
      <c r="B4" s="23"/>
      <c r="C4" s="24"/>
      <c r="D4" s="22" t="s">
        <v>11</v>
      </c>
      <c r="E4" s="22" t="s">
        <v>12</v>
      </c>
      <c r="F4" s="22" t="s">
        <v>13</v>
      </c>
      <c r="G4" s="4" t="s">
        <v>14</v>
      </c>
      <c r="H4" s="4" t="s">
        <v>14</v>
      </c>
      <c r="I4" s="4" t="s">
        <v>14</v>
      </c>
      <c r="J4" s="4" t="s">
        <v>14</v>
      </c>
      <c r="K4" s="4" t="s">
        <v>14</v>
      </c>
      <c r="L4" s="4" t="s">
        <v>14</v>
      </c>
      <c r="M4" s="4" t="s">
        <v>14</v>
      </c>
      <c r="N4" s="4" t="s">
        <v>14</v>
      </c>
      <c r="O4" s="4" t="s">
        <v>14</v>
      </c>
      <c r="P4" s="4" t="s">
        <v>14</v>
      </c>
      <c r="Q4" s="4" t="s">
        <v>15</v>
      </c>
      <c r="R4" s="25" t="s">
        <v>16</v>
      </c>
    </row>
    <row r="5" spans="1:18">
      <c r="A5" s="19">
        <f t="shared" si="0"/>
        <v>3</v>
      </c>
      <c r="B5" s="23"/>
      <c r="C5" s="24"/>
      <c r="D5" s="22" t="s">
        <v>17</v>
      </c>
      <c r="E5" s="22" t="s">
        <v>18</v>
      </c>
      <c r="F5" s="22" t="s">
        <v>13</v>
      </c>
      <c r="G5" s="4" t="s">
        <v>14</v>
      </c>
      <c r="H5" s="4" t="s">
        <v>14</v>
      </c>
      <c r="I5" s="4" t="s">
        <v>14</v>
      </c>
      <c r="J5" s="4" t="s">
        <v>14</v>
      </c>
      <c r="K5" s="4" t="s">
        <v>14</v>
      </c>
      <c r="L5" s="4" t="s">
        <v>14</v>
      </c>
      <c r="M5" s="4" t="s">
        <v>14</v>
      </c>
      <c r="N5" s="4" t="s">
        <v>14</v>
      </c>
      <c r="O5" s="4" t="s">
        <v>14</v>
      </c>
      <c r="P5" s="4" t="s">
        <v>14</v>
      </c>
      <c r="Q5" s="4" t="s">
        <v>19</v>
      </c>
      <c r="R5" s="25" t="s">
        <v>20</v>
      </c>
    </row>
    <row r="6" spans="1:18">
      <c r="A6" s="19">
        <f t="shared" si="0"/>
        <v>4</v>
      </c>
      <c r="B6" s="26"/>
      <c r="C6" s="27"/>
      <c r="D6" s="22" t="s">
        <v>21</v>
      </c>
      <c r="E6" s="22" t="s">
        <v>18</v>
      </c>
      <c r="F6" s="22" t="s">
        <v>13</v>
      </c>
      <c r="G6" s="4" t="s">
        <v>14</v>
      </c>
      <c r="H6" s="4" t="s">
        <v>14</v>
      </c>
      <c r="I6" s="4" t="s">
        <v>14</v>
      </c>
      <c r="J6" s="4" t="s">
        <v>14</v>
      </c>
      <c r="K6" s="4" t="s">
        <v>14</v>
      </c>
      <c r="L6" s="4" t="s">
        <v>14</v>
      </c>
      <c r="M6" s="4" t="s">
        <v>14</v>
      </c>
      <c r="N6" s="4" t="s">
        <v>14</v>
      </c>
      <c r="O6" s="4" t="s">
        <v>14</v>
      </c>
      <c r="P6" s="4" t="s">
        <v>14</v>
      </c>
      <c r="Q6" s="4" t="s">
        <v>19</v>
      </c>
      <c r="R6" s="25" t="s">
        <v>20</v>
      </c>
    </row>
    <row r="7" spans="1:18">
      <c r="A7" s="19">
        <f t="shared" si="0"/>
        <v>5</v>
      </c>
      <c r="B7" s="28" t="s">
        <v>22</v>
      </c>
      <c r="C7" s="29" t="s">
        <v>23</v>
      </c>
      <c r="D7" s="22" t="s">
        <v>24</v>
      </c>
      <c r="E7" s="22" t="s">
        <v>25</v>
      </c>
      <c r="F7" s="22" t="s">
        <v>26</v>
      </c>
      <c r="G7" s="4" t="s">
        <v>14</v>
      </c>
      <c r="H7" s="4" t="s">
        <v>14</v>
      </c>
      <c r="I7" s="30">
        <v>1</v>
      </c>
      <c r="J7" s="4" t="s">
        <v>14</v>
      </c>
      <c r="K7" s="4" t="s">
        <v>14</v>
      </c>
      <c r="L7" s="30">
        <v>1</v>
      </c>
      <c r="M7" s="4" t="s">
        <v>14</v>
      </c>
      <c r="N7" s="4" t="s">
        <v>14</v>
      </c>
      <c r="O7" s="30">
        <v>1</v>
      </c>
      <c r="P7" s="4" t="s">
        <v>14</v>
      </c>
      <c r="Q7" s="4" t="s">
        <v>14</v>
      </c>
      <c r="R7" s="31" cm="1">
        <f t="array" ref="R7">SUMPRODUCT(--(0&amp;SUBSTITUTE(G7:Q7,"-","0")))/IF(F7="季度",3,IF(F7="月度",11,1))</f>
        <v>1</v>
      </c>
    </row>
    <row r="8" spans="1:18">
      <c r="A8" s="19">
        <f t="shared" si="0"/>
        <v>6</v>
      </c>
      <c r="B8" s="32"/>
      <c r="C8" s="29" t="s">
        <v>27</v>
      </c>
      <c r="D8" s="22" t="s">
        <v>28</v>
      </c>
      <c r="E8" s="22" t="s">
        <v>25</v>
      </c>
      <c r="F8" s="22" t="s">
        <v>26</v>
      </c>
      <c r="G8" s="4" t="s">
        <v>14</v>
      </c>
      <c r="H8" s="4" t="s">
        <v>14</v>
      </c>
      <c r="I8" s="30">
        <v>1</v>
      </c>
      <c r="J8" s="4" t="s">
        <v>14</v>
      </c>
      <c r="K8" s="4" t="s">
        <v>14</v>
      </c>
      <c r="L8" s="30">
        <v>1</v>
      </c>
      <c r="M8" s="4" t="s">
        <v>14</v>
      </c>
      <c r="N8" s="4" t="s">
        <v>14</v>
      </c>
      <c r="O8" s="30">
        <v>1</v>
      </c>
      <c r="P8" s="4" t="s">
        <v>14</v>
      </c>
      <c r="Q8" s="4" t="s">
        <v>14</v>
      </c>
      <c r="R8" s="31" cm="1">
        <f t="array" ref="R8">SUMPRODUCT(--(0&amp;SUBSTITUTE(G8:Q8,"-","0")))/IF(F8="季度",3,IF(F8="月度",11,1))</f>
        <v>1</v>
      </c>
    </row>
    <row r="9" spans="1:18">
      <c r="A9" s="19">
        <f t="shared" si="0"/>
        <v>7</v>
      </c>
      <c r="B9" s="32"/>
      <c r="C9" s="29" t="s">
        <v>29</v>
      </c>
      <c r="D9" s="22" t="s">
        <v>30</v>
      </c>
      <c r="E9" s="22" t="s">
        <v>25</v>
      </c>
      <c r="F9" s="22" t="s">
        <v>26</v>
      </c>
      <c r="G9" s="4" t="s">
        <v>14</v>
      </c>
      <c r="H9" s="4" t="s">
        <v>14</v>
      </c>
      <c r="I9" s="30">
        <v>1</v>
      </c>
      <c r="J9" s="4" t="s">
        <v>14</v>
      </c>
      <c r="K9" s="4" t="s">
        <v>14</v>
      </c>
      <c r="L9" s="30">
        <v>1</v>
      </c>
      <c r="M9" s="4" t="s">
        <v>14</v>
      </c>
      <c r="N9" s="4" t="s">
        <v>14</v>
      </c>
      <c r="O9" s="30">
        <v>1</v>
      </c>
      <c r="P9" s="4" t="s">
        <v>14</v>
      </c>
      <c r="Q9" s="4" t="s">
        <v>14</v>
      </c>
      <c r="R9" s="31" cm="1">
        <f t="array" ref="R9">SUMPRODUCT(--(0&amp;SUBSTITUTE(G9:Q9,"-","0")))/IF(F9="季度",3,IF(F9="月度",11,1))</f>
        <v>1</v>
      </c>
    </row>
    <row r="10" spans="1:18">
      <c r="A10" s="19">
        <f t="shared" si="0"/>
        <v>8</v>
      </c>
      <c r="B10" s="32"/>
      <c r="C10" s="29" t="s">
        <v>31</v>
      </c>
      <c r="D10" s="22" t="s">
        <v>32</v>
      </c>
      <c r="E10" s="22" t="s">
        <v>25</v>
      </c>
      <c r="F10" s="22" t="s">
        <v>26</v>
      </c>
      <c r="G10" s="4" t="s">
        <v>14</v>
      </c>
      <c r="H10" s="4" t="s">
        <v>14</v>
      </c>
      <c r="I10" s="30">
        <v>1</v>
      </c>
      <c r="J10" s="4" t="s">
        <v>14</v>
      </c>
      <c r="K10" s="4" t="s">
        <v>14</v>
      </c>
      <c r="L10" s="30">
        <v>1</v>
      </c>
      <c r="M10" s="4" t="s">
        <v>14</v>
      </c>
      <c r="N10" s="4" t="s">
        <v>14</v>
      </c>
      <c r="O10" s="30">
        <v>1</v>
      </c>
      <c r="P10" s="4" t="s">
        <v>14</v>
      </c>
      <c r="Q10" s="4" t="s">
        <v>14</v>
      </c>
      <c r="R10" s="31" cm="1">
        <f t="array" ref="R10">SUMPRODUCT(--(0&amp;SUBSTITUTE(G10:Q10,"-","0")))/IF(F10="季度",3,IF(F10="月度",11,1))</f>
        <v>1</v>
      </c>
    </row>
    <row r="11" spans="1:18">
      <c r="A11" s="19">
        <f t="shared" si="0"/>
        <v>9</v>
      </c>
      <c r="B11" s="32"/>
      <c r="C11" s="29" t="s">
        <v>33</v>
      </c>
      <c r="D11" s="22" t="s">
        <v>34</v>
      </c>
      <c r="E11" s="22" t="s">
        <v>9</v>
      </c>
      <c r="F11" s="22" t="s">
        <v>26</v>
      </c>
      <c r="G11" s="4" t="s">
        <v>14</v>
      </c>
      <c r="H11" s="4" t="s">
        <v>14</v>
      </c>
      <c r="I11" s="30">
        <v>1</v>
      </c>
      <c r="J11" s="4" t="s">
        <v>14</v>
      </c>
      <c r="K11" s="4" t="s">
        <v>14</v>
      </c>
      <c r="L11" s="30">
        <v>1</v>
      </c>
      <c r="M11" s="4" t="s">
        <v>14</v>
      </c>
      <c r="N11" s="4" t="s">
        <v>14</v>
      </c>
      <c r="O11" s="30">
        <v>1</v>
      </c>
      <c r="P11" s="4" t="s">
        <v>14</v>
      </c>
      <c r="Q11" s="4" t="s">
        <v>14</v>
      </c>
      <c r="R11" s="31" cm="1">
        <f t="array" ref="R11">SUMPRODUCT(--(0&amp;SUBSTITUTE(G11:Q11,"-","0")))/IF(F11="季度",3,IF(F11="月度",11,1))</f>
        <v>1</v>
      </c>
    </row>
    <row r="12" spans="1:18">
      <c r="A12" s="19">
        <f t="shared" si="0"/>
        <v>10</v>
      </c>
      <c r="B12" s="33"/>
      <c r="C12" s="29" t="s">
        <v>35</v>
      </c>
      <c r="D12" s="22" t="s">
        <v>36</v>
      </c>
      <c r="E12" s="22" t="s">
        <v>37</v>
      </c>
      <c r="F12" s="22" t="s">
        <v>13</v>
      </c>
      <c r="G12" s="4" t="s">
        <v>14</v>
      </c>
      <c r="H12" s="4" t="s">
        <v>14</v>
      </c>
      <c r="I12" s="30" t="s">
        <v>14</v>
      </c>
      <c r="J12" s="4" t="s">
        <v>14</v>
      </c>
      <c r="K12" s="4" t="s">
        <v>14</v>
      </c>
      <c r="L12" s="30" t="s">
        <v>14</v>
      </c>
      <c r="M12" s="4" t="s">
        <v>14</v>
      </c>
      <c r="N12" s="4" t="s">
        <v>14</v>
      </c>
      <c r="O12" s="30" t="s">
        <v>14</v>
      </c>
      <c r="P12" s="4" t="s">
        <v>14</v>
      </c>
      <c r="Q12" s="4" t="s">
        <v>14</v>
      </c>
      <c r="R12" s="31" cm="1">
        <f t="array" ref="R12">SUMPRODUCT(--(0&amp;SUBSTITUTE(G12:Q12,"-","0")))/IF(F12="季度",3,IF(F12="月度",11,1))</f>
        <v>0</v>
      </c>
    </row>
    <row r="13" spans="1:18">
      <c r="A13" s="19">
        <f t="shared" si="0"/>
        <v>11</v>
      </c>
      <c r="B13" s="28" t="s">
        <v>38</v>
      </c>
      <c r="C13" s="29" t="s">
        <v>39</v>
      </c>
      <c r="D13" s="22" t="s">
        <v>40</v>
      </c>
      <c r="E13" s="22" t="s">
        <v>18</v>
      </c>
      <c r="F13" s="22" t="s">
        <v>13</v>
      </c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31" cm="1">
        <f t="array" ref="R13">SUMPRODUCT(--(0&amp;SUBSTITUTE(G13:Q13,"-","0")))/IF(F13="季度",3,IF(F13="月度",11,1))</f>
        <v>0</v>
      </c>
    </row>
    <row r="14" spans="1:18">
      <c r="A14" s="19">
        <f t="shared" ref="A14:A23" si="1">ROW()-2</f>
        <v>12</v>
      </c>
      <c r="B14" s="32"/>
      <c r="C14" s="29" t="s">
        <v>41</v>
      </c>
      <c r="D14" s="22" t="s">
        <v>42</v>
      </c>
      <c r="E14" s="22" t="s">
        <v>9</v>
      </c>
      <c r="F14" s="22" t="s">
        <v>26</v>
      </c>
      <c r="G14" s="4"/>
      <c r="H14" s="4"/>
      <c r="I14" s="4"/>
      <c r="J14" s="4"/>
      <c r="K14" s="34"/>
      <c r="L14" s="4"/>
      <c r="M14" s="4"/>
      <c r="N14" s="4"/>
      <c r="O14" s="4"/>
      <c r="P14" s="4"/>
      <c r="Q14" s="4"/>
      <c r="R14" s="31" cm="1">
        <f t="array" ref="R14">SUMPRODUCT(--(0&amp;SUBSTITUTE(G14:Q14,"-","0")))/IF(F14="季度",3,IF(F14="月度",11,1))</f>
        <v>0</v>
      </c>
    </row>
    <row r="15" spans="1:18">
      <c r="A15" s="19">
        <f t="shared" si="1"/>
        <v>13</v>
      </c>
      <c r="B15" s="32"/>
      <c r="C15" s="29" t="s">
        <v>43</v>
      </c>
      <c r="D15" s="22" t="s">
        <v>44</v>
      </c>
      <c r="E15" s="22" t="s">
        <v>9</v>
      </c>
      <c r="F15" s="22" t="s">
        <v>26</v>
      </c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31" cm="1">
        <f t="array" ref="R15">SUMPRODUCT(--(0&amp;SUBSTITUTE(G15:Q15,"-","0")))/IF(F15="季度",3,IF(F15="月度",11,1))</f>
        <v>0</v>
      </c>
    </row>
    <row r="16" spans="1:18">
      <c r="A16" s="19">
        <f t="shared" si="1"/>
        <v>14</v>
      </c>
      <c r="B16" s="32"/>
      <c r="C16" s="28" t="s">
        <v>45</v>
      </c>
      <c r="D16" s="22" t="s">
        <v>46</v>
      </c>
      <c r="E16" s="22" t="s">
        <v>9</v>
      </c>
      <c r="F16" s="22" t="s">
        <v>47</v>
      </c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31" cm="1">
        <f t="array" ref="R16">SUMPRODUCT(--(0&amp;SUBSTITUTE(G16:Q16,"-","0")))/IF(F16="季度",3,IF(F16="月度",11,1))</f>
        <v>0</v>
      </c>
    </row>
    <row r="17" spans="1:18">
      <c r="A17" s="19">
        <f t="shared" si="1"/>
        <v>15</v>
      </c>
      <c r="B17" s="32"/>
      <c r="C17" s="33"/>
      <c r="D17" s="22" t="s">
        <v>48</v>
      </c>
      <c r="E17" s="22" t="s">
        <v>9</v>
      </c>
      <c r="F17" s="22" t="s">
        <v>26</v>
      </c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31" cm="1">
        <f t="array" ref="R17">SUMPRODUCT(--(0&amp;SUBSTITUTE(G17:Q17,"-","0")))/IF(F17="季度",3,IF(F17="月度",11,1))</f>
        <v>0</v>
      </c>
    </row>
    <row r="18" spans="1:18">
      <c r="A18" s="19">
        <f t="shared" si="1"/>
        <v>16</v>
      </c>
      <c r="B18" s="32"/>
      <c r="C18" s="28" t="s">
        <v>49</v>
      </c>
      <c r="D18" s="22" t="s">
        <v>50</v>
      </c>
      <c r="E18" s="22" t="s">
        <v>9</v>
      </c>
      <c r="F18" s="22" t="s">
        <v>26</v>
      </c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31" cm="1">
        <f t="array" ref="R18">SUMPRODUCT(--(0&amp;SUBSTITUTE(G18:Q18,"-","0")))/IF(F18="季度",3,IF(F18="月度",11,1))</f>
        <v>0</v>
      </c>
    </row>
    <row r="19" spans="1:18">
      <c r="A19" s="19">
        <f t="shared" si="1"/>
        <v>17</v>
      </c>
      <c r="B19" s="32"/>
      <c r="C19" s="33"/>
      <c r="D19" s="22" t="s">
        <v>51</v>
      </c>
      <c r="E19" s="22" t="s">
        <v>9</v>
      </c>
      <c r="F19" s="22" t="s">
        <v>26</v>
      </c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31" cm="1">
        <f t="array" ref="R19">SUMPRODUCT(--(0&amp;SUBSTITUTE(G19:Q19,"-","0")))/IF(F19="季度",3,IF(F19="月度",11,1))</f>
        <v>0</v>
      </c>
    </row>
    <row r="20" spans="1:18">
      <c r="A20" s="19">
        <f t="shared" si="1"/>
        <v>18</v>
      </c>
      <c r="B20" s="32"/>
      <c r="C20" s="29" t="s">
        <v>52</v>
      </c>
      <c r="D20" s="22" t="s">
        <v>53</v>
      </c>
      <c r="E20" s="22" t="s">
        <v>25</v>
      </c>
      <c r="F20" s="22" t="s">
        <v>54</v>
      </c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31" cm="1">
        <f t="array" ref="R20">SUMPRODUCT(--(0&amp;SUBSTITUTE(G20:Q20,"-","0")))/IF(F20="季度",3,IF(F20="月度",11,1))</f>
        <v>0</v>
      </c>
    </row>
    <row r="21" spans="1:18">
      <c r="A21" s="19">
        <f t="shared" si="1"/>
        <v>19</v>
      </c>
      <c r="B21" s="32"/>
      <c r="C21" s="29" t="s">
        <v>55</v>
      </c>
      <c r="D21" s="22" t="s">
        <v>56</v>
      </c>
      <c r="E21" s="22" t="s">
        <v>57</v>
      </c>
      <c r="F21" s="22" t="s">
        <v>47</v>
      </c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31" cm="1">
        <f t="array" ref="R21">SUMPRODUCT(--(0&amp;SUBSTITUTE(G21:Q21,"-","0")))/IF(F21="季度",3,IF(F21="月度",11,1))</f>
        <v>0</v>
      </c>
    </row>
    <row r="22" spans="1:18">
      <c r="A22" s="19">
        <f t="shared" si="1"/>
        <v>20</v>
      </c>
      <c r="B22" s="32"/>
      <c r="C22" s="29" t="s">
        <v>58</v>
      </c>
      <c r="D22" s="22" t="s">
        <v>59</v>
      </c>
      <c r="E22" s="22" t="s">
        <v>57</v>
      </c>
      <c r="F22" s="22" t="s">
        <v>47</v>
      </c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31" cm="1">
        <f t="array" ref="R22">SUMPRODUCT(--(0&amp;SUBSTITUTE(G22:Q22,"-","0")))/IF(F22="季度",3,IF(F22="月度",11,1))</f>
        <v>0</v>
      </c>
    </row>
    <row r="23" spans="1:18">
      <c r="A23" s="19">
        <f t="shared" si="1"/>
        <v>21</v>
      </c>
      <c r="B23" s="32"/>
      <c r="C23" s="28" t="s">
        <v>60</v>
      </c>
      <c r="D23" s="22" t="s">
        <v>61</v>
      </c>
      <c r="E23" s="22" t="s">
        <v>9</v>
      </c>
      <c r="F23" s="22" t="s">
        <v>47</v>
      </c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31" cm="1">
        <f t="array" ref="R23">SUMPRODUCT(--(0&amp;SUBSTITUTE(G23:Q23,"-","0")))/IF(F23="季度",3,IF(F23="月度",11,1))</f>
        <v>0</v>
      </c>
    </row>
    <row r="24" spans="1:18">
      <c r="A24" s="19">
        <f t="shared" ref="A24:A35" si="2">ROW()-2</f>
        <v>22</v>
      </c>
      <c r="B24" s="32"/>
      <c r="C24" s="33"/>
      <c r="D24" s="22" t="s">
        <v>62</v>
      </c>
      <c r="E24" s="22" t="s">
        <v>63</v>
      </c>
      <c r="F24" s="22" t="s">
        <v>47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31" cm="1">
        <f t="array" ref="R24">SUMPRODUCT(--(0&amp;SUBSTITUTE(G24:Q24,"-","0")))/IF(F24="季度",3,IF(F24="月度",11,1))</f>
        <v>0</v>
      </c>
    </row>
    <row r="25" spans="1:18">
      <c r="A25" s="19">
        <f t="shared" si="2"/>
        <v>23</v>
      </c>
      <c r="B25" s="32"/>
      <c r="C25" s="29" t="s">
        <v>64</v>
      </c>
      <c r="D25" s="22" t="s">
        <v>65</v>
      </c>
      <c r="E25" s="22" t="s">
        <v>63</v>
      </c>
      <c r="F25" s="22" t="s">
        <v>13</v>
      </c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31" cm="1">
        <f t="array" ref="R25">SUMPRODUCT(--(0&amp;SUBSTITUTE(G25:Q25,"-","0")))/IF(F25="季度",3,IF(F25="月度",11,1))</f>
        <v>0</v>
      </c>
    </row>
    <row r="26" spans="1:18">
      <c r="A26" s="19">
        <f t="shared" si="2"/>
        <v>24</v>
      </c>
      <c r="B26" s="33"/>
      <c r="C26" s="29" t="s">
        <v>66</v>
      </c>
      <c r="D26" s="22" t="s">
        <v>67</v>
      </c>
      <c r="E26" s="22" t="s">
        <v>63</v>
      </c>
      <c r="F26" s="22" t="s">
        <v>13</v>
      </c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31" cm="1">
        <f t="array" ref="R26">SUMPRODUCT(--(0&amp;SUBSTITUTE(G26:Q26,"-","0")))/IF(F26="季度",3,IF(F26="月度",11,1))</f>
        <v>0</v>
      </c>
    </row>
    <row r="27" s="1" customFormat="1" spans="1:18">
      <c r="A27" s="19">
        <f t="shared" si="2"/>
        <v>25</v>
      </c>
      <c r="B27" s="20" t="s">
        <v>68</v>
      </c>
      <c r="C27" s="21"/>
      <c r="D27" s="22" t="s">
        <v>69</v>
      </c>
      <c r="E27" s="22" t="s">
        <v>37</v>
      </c>
      <c r="F27" s="22" t="s">
        <v>26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31" cm="1">
        <f t="array" ref="R27">SUMPRODUCT(--(0&amp;SUBSTITUTE(G27:Q27,"-","0")))/IF(F27="季度",3,IF(F27="月度",11,1))</f>
        <v>0</v>
      </c>
    </row>
    <row r="28" s="1" customFormat="1" spans="1:18">
      <c r="A28" s="19">
        <f t="shared" si="2"/>
        <v>26</v>
      </c>
      <c r="B28" s="26"/>
      <c r="C28" s="27"/>
      <c r="D28" s="22" t="s">
        <v>70</v>
      </c>
      <c r="E28" s="22" t="s">
        <v>71</v>
      </c>
      <c r="F28" s="22" t="s">
        <v>13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31" cm="1">
        <f t="array" ref="R28">SUMPRODUCT(--(0&amp;SUBSTITUTE(G28:Q28,"-","0")))/IF(F28="季度",3,IF(F28="月度",11,1))</f>
        <v>0</v>
      </c>
    </row>
    <row r="29" s="1" customFormat="1" spans="1:18">
      <c r="A29" s="19">
        <f t="shared" si="2"/>
        <v>27</v>
      </c>
      <c r="B29" s="28" t="s">
        <v>72</v>
      </c>
      <c r="C29" s="29" t="s">
        <v>73</v>
      </c>
      <c r="D29" s="22" t="s">
        <v>74</v>
      </c>
      <c r="E29" s="22" t="s">
        <v>25</v>
      </c>
      <c r="F29" s="22" t="s">
        <v>26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31" cm="1">
        <f t="array" ref="R29">SUMPRODUCT(--(0&amp;SUBSTITUTE(G29:Q29,"-","0")))/IF(F29="季度",3,IF(F29="月度",11,1))</f>
        <v>0</v>
      </c>
    </row>
    <row r="30" s="1" customFormat="1" spans="1:18">
      <c r="A30" s="19">
        <f t="shared" si="2"/>
        <v>28</v>
      </c>
      <c r="B30" s="32"/>
      <c r="C30" s="29" t="s">
        <v>75</v>
      </c>
      <c r="D30" s="22" t="s">
        <v>76</v>
      </c>
      <c r="E30" s="22" t="s">
        <v>9</v>
      </c>
      <c r="F30" s="22" t="s">
        <v>26</v>
      </c>
      <c r="G30" s="4" t="s">
        <v>14</v>
      </c>
      <c r="H30" s="4" t="s">
        <v>14</v>
      </c>
      <c r="I30" s="35">
        <v>0.9</v>
      </c>
      <c r="J30" s="4" t="s">
        <v>14</v>
      </c>
      <c r="K30" s="4" t="s">
        <v>14</v>
      </c>
      <c r="L30" s="35">
        <v>0.92</v>
      </c>
      <c r="M30" s="4" t="s">
        <v>14</v>
      </c>
      <c r="N30" s="4" t="s">
        <v>14</v>
      </c>
      <c r="O30" s="35">
        <v>0.95</v>
      </c>
      <c r="P30" s="4" t="s">
        <v>14</v>
      </c>
      <c r="Q30" s="4" t="s">
        <v>14</v>
      </c>
      <c r="R30" s="31" cm="1">
        <f t="array" ref="R30">SUMPRODUCT(--(0&amp;SUBSTITUTE(G30:Q30,"-","0")))/IF(F30="季度",3,IF(F30="月度",11,1))</f>
        <v>0.923333333333333</v>
      </c>
    </row>
    <row r="31" s="1" customFormat="1" spans="1:18">
      <c r="A31" s="19">
        <f t="shared" si="2"/>
        <v>29</v>
      </c>
      <c r="B31" s="32"/>
      <c r="C31" s="29" t="s">
        <v>77</v>
      </c>
      <c r="D31" s="22" t="s">
        <v>78</v>
      </c>
      <c r="E31" s="22" t="s">
        <v>79</v>
      </c>
      <c r="F31" s="22" t="s">
        <v>26</v>
      </c>
      <c r="G31" s="4" t="s">
        <v>14</v>
      </c>
      <c r="H31" s="4" t="s">
        <v>14</v>
      </c>
      <c r="I31" s="36" t="s">
        <v>80</v>
      </c>
      <c r="J31" s="4" t="s">
        <v>14</v>
      </c>
      <c r="K31" s="4" t="s">
        <v>14</v>
      </c>
      <c r="L31" s="35" t="s">
        <v>81</v>
      </c>
      <c r="M31" s="4" t="s">
        <v>14</v>
      </c>
      <c r="N31" s="4" t="s">
        <v>14</v>
      </c>
      <c r="O31" s="35" t="s">
        <v>82</v>
      </c>
      <c r="P31" s="4" t="s">
        <v>14</v>
      </c>
      <c r="Q31" s="4" t="s">
        <v>14</v>
      </c>
      <c r="R31" s="37" t="s">
        <v>83</v>
      </c>
    </row>
    <row r="32" spans="1:18">
      <c r="A32" s="19">
        <f t="shared" si="2"/>
        <v>30</v>
      </c>
      <c r="B32" s="32"/>
      <c r="C32" s="29" t="s">
        <v>84</v>
      </c>
      <c r="D32" s="22" t="s">
        <v>85</v>
      </c>
      <c r="E32" s="22" t="s">
        <v>18</v>
      </c>
      <c r="F32" s="22" t="s">
        <v>54</v>
      </c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31" cm="1">
        <f t="array" ref="R32">SUMPRODUCT(--(0&amp;SUBSTITUTE(G32:Q32,"-","0")))/IF(F32="季度",3,IF(F32="月度",11,1))</f>
        <v>0</v>
      </c>
    </row>
    <row r="33" spans="1:18">
      <c r="A33" s="19">
        <f t="shared" si="2"/>
        <v>31</v>
      </c>
      <c r="B33" s="33"/>
      <c r="C33" s="29" t="s">
        <v>86</v>
      </c>
      <c r="D33" s="22" t="s">
        <v>87</v>
      </c>
      <c r="E33" s="22" t="s">
        <v>88</v>
      </c>
      <c r="F33" s="22" t="s">
        <v>26</v>
      </c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31" cm="1">
        <f t="array" ref="R33">SUMPRODUCT(--(0&amp;SUBSTITUTE(G33:Q33,"-","0")))/IF(F33="季度",3,IF(F33="月度",11,1))</f>
        <v>0</v>
      </c>
    </row>
    <row r="34" spans="1:18">
      <c r="A34" s="19">
        <f t="shared" si="2"/>
        <v>32</v>
      </c>
      <c r="B34" s="38" t="s">
        <v>89</v>
      </c>
      <c r="C34" s="39"/>
      <c r="D34" s="22" t="s">
        <v>90</v>
      </c>
      <c r="E34" s="40">
        <v>1</v>
      </c>
      <c r="F34" s="22" t="s">
        <v>13</v>
      </c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31" cm="1">
        <f t="array" ref="R34">SUMPRODUCT(--(0&amp;SUBSTITUTE(G34:Q34,"-","0")))/IF(F34="季度",3,IF(F34="月度",11,1))</f>
        <v>0</v>
      </c>
    </row>
    <row r="35" spans="1:18">
      <c r="A35" s="19">
        <f t="shared" si="2"/>
        <v>33</v>
      </c>
      <c r="B35" s="38" t="s">
        <v>91</v>
      </c>
      <c r="C35" s="39"/>
      <c r="D35" s="22" t="s">
        <v>92</v>
      </c>
      <c r="E35" s="22" t="s">
        <v>18</v>
      </c>
      <c r="F35" s="22" t="s">
        <v>13</v>
      </c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37" t="s">
        <v>20</v>
      </c>
    </row>
  </sheetData>
  <mergeCells count="17">
    <mergeCell ref="G1:Q1"/>
    <mergeCell ref="B34:C34"/>
    <mergeCell ref="B35:C35"/>
    <mergeCell ref="A1:A2"/>
    <mergeCell ref="B7:B12"/>
    <mergeCell ref="B13:B26"/>
    <mergeCell ref="B29:B33"/>
    <mergeCell ref="C16:C17"/>
    <mergeCell ref="C18:C19"/>
    <mergeCell ref="C23:C24"/>
    <mergeCell ref="D1:D2"/>
    <mergeCell ref="E1:E2"/>
    <mergeCell ref="F1:F2"/>
    <mergeCell ref="R1:R2"/>
    <mergeCell ref="B1:C2"/>
    <mergeCell ref="B3:C6"/>
    <mergeCell ref="B27:C28"/>
  </mergeCells>
  <pageMargins left="0.707638888888889" right="0.511805555555556" top="0.747916666666667" bottom="0.747916666666667" header="0.313888888888889" footer="0.313888888888889"/>
  <pageSetup paperSize="9" scale="66" fitToHeight="0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KPI指标体系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郝宇</cp:lastModifiedBy>
  <dcterms:created xsi:type="dcterms:W3CDTF">2013-11-05T07:08:00Z</dcterms:created>
  <cp:lastPrinted>2014-02-10T07:30:00Z</cp:lastPrinted>
  <dcterms:modified xsi:type="dcterms:W3CDTF">2026-01-21T23:46:35Z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4471DCAD1F3E470081F12B195AB9F83A_13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