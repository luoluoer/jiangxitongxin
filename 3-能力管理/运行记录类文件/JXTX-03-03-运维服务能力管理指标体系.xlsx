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KPI指标体系" sheetId="1" r:id="rId1"/>
  </sheets>
  <definedNames>
    <definedName name="_GoBack" localSheetId="0">KPI指标体系!#REF!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<sst xmlns="http://schemas.openxmlformats.org/spreadsheetml/2006/main" count="200" uniqueCount="121">
  <si>
    <t xml:space="preserve">江西通信运维服务能力管理指标体系       </t>
  </si>
  <si>
    <t>编号</t>
  </si>
  <si>
    <t>名称</t>
  </si>
  <si>
    <t>KPI</t>
  </si>
  <si>
    <t>目标值</t>
  </si>
  <si>
    <t>计算公式/方法</t>
  </si>
  <si>
    <t>频度</t>
  </si>
  <si>
    <t>责任部门</t>
  </si>
  <si>
    <t>质量</t>
  </si>
  <si>
    <t>客户满意度</t>
  </si>
  <si>
    <t>≥90%</t>
  </si>
  <si>
    <t>半年度</t>
  </si>
  <si>
    <t>质量管理部</t>
  </si>
  <si>
    <t>客户投诉次数</t>
  </si>
  <si>
    <t>≤2次</t>
  </si>
  <si>
    <t>每年客户投诉数量</t>
  </si>
  <si>
    <t>年度</t>
  </si>
  <si>
    <t>内审次数</t>
  </si>
  <si>
    <t>≥1次</t>
  </si>
  <si>
    <t>数量，内审报告数量</t>
  </si>
  <si>
    <t>管理评审次数</t>
  </si>
  <si>
    <t>数量，管理评审报告数量</t>
  </si>
  <si>
    <t>数智运营部</t>
  </si>
  <si>
    <t>人员</t>
  </si>
  <si>
    <t>储备</t>
  </si>
  <si>
    <t>储备计划完成率</t>
  </si>
  <si>
    <t>≥95%</t>
  </si>
  <si>
    <t>实际完成储备人员数量/应储备人员总数量*100%</t>
  </si>
  <si>
    <t>季度</t>
  </si>
  <si>
    <t>人力部</t>
  </si>
  <si>
    <t>培训</t>
  </si>
  <si>
    <t>培训计划完成率</t>
  </si>
  <si>
    <t>实际培训次数/应培训次数*100%</t>
  </si>
  <si>
    <t>招聘</t>
  </si>
  <si>
    <t>招聘计划达成率</t>
  </si>
  <si>
    <t>实际聘用人数/计划招聘人数*100%</t>
  </si>
  <si>
    <t>备份</t>
  </si>
  <si>
    <t>备份计划达成率</t>
  </si>
  <si>
    <t>实际备份人数/计划备份人数*100%</t>
  </si>
  <si>
    <t>绩效考核</t>
  </si>
  <si>
    <t>绩效考核合格率</t>
  </si>
  <si>
    <t>绩效考核合格人数/绩效考核总人数*100%</t>
  </si>
  <si>
    <t>技能评定</t>
  </si>
  <si>
    <t>技能评定覆盖率</t>
  </si>
  <si>
    <t>≥80%</t>
  </si>
  <si>
    <t>实际进行技能评定的人数/应进行技能评定的人数*100%</t>
  </si>
  <si>
    <t>过程</t>
  </si>
  <si>
    <t>过程框架</t>
  </si>
  <si>
    <t>过程框架自评估次数</t>
  </si>
  <si>
    <t>次数，过程框架自评估报告数量</t>
  </si>
  <si>
    <t>服务级别</t>
  </si>
  <si>
    <t>SLA达成率</t>
  </si>
  <si>
    <t>达到服务级别要求的事件数/应达到服务级别要求的事件总数*100%</t>
  </si>
  <si>
    <t>服务报告</t>
  </si>
  <si>
    <t>服务报告交付及时率</t>
  </si>
  <si>
    <t>（服务报告按时提交的数量/服务报告总数量）*100%</t>
  </si>
  <si>
    <t>事件</t>
  </si>
  <si>
    <t>事件解决率</t>
  </si>
  <si>
    <t>成功解决事件数/已关闭事件总数</t>
  </si>
  <si>
    <t>月度</t>
  </si>
  <si>
    <t>事件解决用户满意度</t>
  </si>
  <si>
    <t>（调查结果为满意、非常满意的用户数量/调查满意度用户总数）*100%</t>
  </si>
  <si>
    <t>问题</t>
  </si>
  <si>
    <t>问题转知识的比率</t>
  </si>
  <si>
    <t>问题转知识库的总数/已解决的问题总数</t>
  </si>
  <si>
    <t>问题解决率</t>
  </si>
  <si>
    <t>（已解决的问题数量/问题总数）*100%</t>
  </si>
  <si>
    <t>配置</t>
  </si>
  <si>
    <t>配置数据的准确率</t>
  </si>
  <si>
    <t>（配置数据匹配数/配置数据总数）*100%</t>
  </si>
  <si>
    <t>半年</t>
  </si>
  <si>
    <t>变更</t>
  </si>
  <si>
    <t>变更成功率</t>
  </si>
  <si>
    <t>≥98%</t>
  </si>
  <si>
    <t>（变更成功的数量/变更总数)*100%</t>
  </si>
  <si>
    <t>发布</t>
  </si>
  <si>
    <t>发布成功率</t>
  </si>
  <si>
    <t>（发布成功的数量/发布总数）*100%</t>
  </si>
  <si>
    <t>服务</t>
  </si>
  <si>
    <t>服务可用率</t>
  </si>
  <si>
    <t>服务实际可用时间/服务计划可用时间*100%</t>
  </si>
  <si>
    <t>服务故障中断次数</t>
  </si>
  <si>
    <t>≤1次</t>
  </si>
  <si>
    <t>数量，因服务故障导致的服务中断次数</t>
  </si>
  <si>
    <t>容量</t>
  </si>
  <si>
    <t>容量事件数</t>
  </si>
  <si>
    <t>数量，因容量导致的事件次数</t>
  </si>
  <si>
    <t>信息安全</t>
  </si>
  <si>
    <t>信息安全事件数量</t>
  </si>
  <si>
    <t>我方人员造成信息安全事件的次数</t>
  </si>
  <si>
    <t>技术</t>
  </si>
  <si>
    <t>阶段成果达成率</t>
  </si>
  <si>
    <t>（项目实施阶段成果达成数/计划成果数）*100%</t>
  </si>
  <si>
    <t>研究总院</t>
  </si>
  <si>
    <t>资金使用率</t>
  </si>
  <si>
    <t>≥85%</t>
  </si>
  <si>
    <t>实际使用资金金额/计划投入资金金额*100%</t>
  </si>
  <si>
    <t>资源</t>
  </si>
  <si>
    <t>工具</t>
  </si>
  <si>
    <t>工具使用率</t>
  </si>
  <si>
    <t>（使用工具项目数/项目总数）*100%</t>
  </si>
  <si>
    <t>服务台</t>
  </si>
  <si>
    <t>服务台派单成功率</t>
  </si>
  <si>
    <t>【1-（退回的派单/派单总数）】*100%</t>
  </si>
  <si>
    <t>服务知识</t>
  </si>
  <si>
    <t>新增知识条目</t>
  </si>
  <si>
    <t>≥10条</t>
  </si>
  <si>
    <t>统计知识库中新增知识条目</t>
  </si>
  <si>
    <t>最终软件库</t>
  </si>
  <si>
    <t>软件合规性审计次数</t>
  </si>
  <si>
    <t>数量，软件库审计报告数量</t>
  </si>
  <si>
    <t>服务数据</t>
  </si>
  <si>
    <t>服务数据分析利用次数</t>
  </si>
  <si>
    <t>≥3次</t>
  </si>
  <si>
    <t>数量，服务数据分析使用报告数</t>
  </si>
  <si>
    <t>交付</t>
  </si>
  <si>
    <t>项目及时交付率</t>
  </si>
  <si>
    <t>按时交付的项目数/运维项目总数*100%</t>
  </si>
  <si>
    <t>应急</t>
  </si>
  <si>
    <t>项目应急演练次数</t>
  </si>
  <si>
    <t>数量，应急演练报告数量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</si>
</sst>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</font>
    <font>
      <b/>
      <sz val="14"/>
      <color indexed="8"/>
      <name val="宋体"/>
      <charset val="134"/>
    </font>
    <font>
      <b/>
      <sz val="11"/>
      <color indexed="8"/>
      <name val="楷体_GB2312"/>
      <charset val="134"/>
    </font>
    <font>
      <sz val="10.5"/>
      <color indexed="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9" fontId="3" fillId="5" borderId="1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C0C0C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40640</xdr:colOff>
      <xdr:row>3</xdr:row>
      <xdr:rowOff>34925</xdr:rowOff>
    </xdr:from>
    <xdr:ext cx="1845945" cy="252730"/>
    <mc:AlternateContent xmlns:mc="http://schemas.openxmlformats.org/markup-compatibility/2006">
      <mc:Choice xmlns:a14="http://schemas.microsoft.com/office/drawing/2010/main" Requires="a14">
        <xdr:sp>
          <xdr:nvSpPr>
            <xdr:cNvPr id="2" name="文本框 1"/>
            <xdr:cNvSpPr txBox="1"/>
          </xdr:nvSpPr>
          <xdr:spPr>
            <a:xfrm>
              <a:off x="3759200" y="825500"/>
              <a:ext cx="1845945" cy="25273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p>
              <a:pPr algn="l"/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(</a:t>
              </a:r>
              <a14:m>
                <m:oMath xmlns:m="http://schemas.openxmlformats.org/officeDocument/2006/math">
                  <m:nary>
                    <m:naryPr>
                      <m:chr m:val="∑"/>
                      <m:limLoc m:val="undOvr"/>
                      <m:ctrlPr>
                        <a:rPr lang="en-US" altLang="zh-CN" sz="1100" i="1">
                          <a:latin typeface="Cambria Math" panose="02040503050406030204" charset="0"/>
                          <a:cs typeface="Cambria Math" panose="02040503050406030204" charset="0"/>
                        </a:rPr>
                      </m:ctrlPr>
                    </m:naryPr>
                    <m:sub>
                      <m:r>
                        <a:rPr lang="en-US" altLang="zh-CN" sz="1100" i="1">
                          <a:latin typeface="Cambria Math" panose="02040503050406030204" charset="0"/>
                          <a:cs typeface="Cambria Math" panose="02040503050406030204" charset="0"/>
                        </a:rPr>
                        <m:t>𝑖</m:t>
                      </m:r>
                      <m:r>
                        <a:rPr lang="en-US" altLang="zh-CN" sz="1100" i="1">
                          <a:latin typeface="Cambria Math" panose="02040503050406030204" charset="0"/>
                          <a:cs typeface="Cambria Math" panose="02040503050406030204" charset="0"/>
                        </a:rPr>
                        <m:t>=</m:t>
                      </m:r>
                      <m:r>
                        <a:rPr lang="en-US" altLang="zh-CN" sz="1100" i="1">
                          <a:latin typeface="Cambria Math" panose="02040503050406030204" charset="0"/>
                          <a:cs typeface="Cambria Math" panose="02040503050406030204" charset="0"/>
                        </a:rPr>
                        <m:t>0</m:t>
                      </m:r>
                    </m:sub>
                    <m:sup>
                      <m:r>
                        <a:rPr lang="en-US" altLang="zh-CN" sz="1100" i="1">
                          <a:latin typeface="Cambria Math" panose="02040503050406030204" charset="0"/>
                          <a:cs typeface="Cambria Math" panose="02040503050406030204" charset="0"/>
                        </a:rPr>
                        <m:t>𝑛</m:t>
                      </m:r>
                    </m:sup>
                    <m:e>
                      <m:r>
                        <a:rPr lang="en-US" altLang="zh-CN" sz="1100" i="1">
                          <a:latin typeface="Cambria Math" panose="02040503050406030204" charset="0"/>
                          <a:cs typeface="Cambria Math" panose="02040503050406030204" charset="0"/>
                        </a:rPr>
                        <m:t>𝑁</m:t>
                      </m:r>
                      <m:r>
                        <a:rPr lang="en-US" altLang="zh-CN" sz="1100" i="1" baseline="-25000">
                          <a:solidFill>
                            <a:schemeClr val="tx1"/>
                          </a:solidFill>
                          <a:uFillTx/>
                          <a:latin typeface="Cambria Math" panose="02040503050406030204" charset="0"/>
                          <a:cs typeface="Cambria Math" panose="02040503050406030204" charset="0"/>
                        </a:rPr>
                        <m:t>𝑖</m:t>
                      </m:r>
                    </m:e>
                  </m:nary>
                </m:oMath>
              </a14:m>
              <a:r>
                <a:rPr lang="en-US" altLang="zh-CN" sz="1100"/>
                <a:t>)/</a:t>
              </a:r>
              <a14:m>
                <m:oMath xmlns:m="http://schemas.openxmlformats.org/officeDocument/2006/math">
                  <m:r>
                    <a:rPr lang="en-US" altLang="zh-CN" sz="1100"/>
                    <m:t>(</m:t>
                  </m:r>
                  <m:nary>
                    <m:naryPr>
                      <m:chr m:val="∑"/>
                      <m:limLoc m:val="undOvr"/>
                      <m:ctrlPr>
                        <a:rPr lang="en-US" altLang="zh-CN" sz="1100" i="1">
                          <a:latin typeface="Cambria Math" panose="02040503050406030204" charset="0"/>
                          <a:cs typeface="Cambria Math" panose="02040503050406030204" charset="0"/>
                        </a:rPr>
                      </m:ctrlPr>
                    </m:naryPr>
                    <m:sub>
                      <m:r>
                        <a:rPr lang="en-US" altLang="zh-CN" sz="1100" i="1">
                          <a:latin typeface="Cambria Math" panose="02040503050406030204" charset="0"/>
                          <a:cs typeface="Cambria Math" panose="02040503050406030204" charset="0"/>
                        </a:rPr>
                        <m:t>𝑖</m:t>
                      </m:r>
                      <m:r>
                        <a:rPr lang="en-US" altLang="zh-CN" sz="1100" i="1">
                          <a:latin typeface="Cambria Math" panose="02040503050406030204" charset="0"/>
                          <a:cs typeface="Cambria Math" panose="02040503050406030204" charset="0"/>
                        </a:rPr>
                        <m:t>=</m:t>
                      </m:r>
                      <m:r>
                        <a:rPr lang="en-US" altLang="zh-CN" sz="1100" i="1">
                          <a:latin typeface="Cambria Math" panose="02040503050406030204" charset="0"/>
                          <a:cs typeface="Cambria Math" panose="02040503050406030204" charset="0"/>
                        </a:rPr>
                        <m:t>0</m:t>
                      </m:r>
                    </m:sub>
                    <m:sup>
                      <m:r>
                        <a:rPr lang="en-US" altLang="zh-CN" sz="1100" i="1">
                          <a:latin typeface="Cambria Math" panose="02040503050406030204" charset="0"/>
                          <a:cs typeface="Cambria Math" panose="02040503050406030204" charset="0"/>
                        </a:rPr>
                        <m:t>𝑛</m:t>
                      </m:r>
                    </m:sup>
                    <m:e>
                      <m:r>
                        <a:rPr lang="en-US" altLang="zh-CN" sz="1100" i="1">
                          <a:latin typeface="Cambria Math" panose="02040503050406030204" charset="0"/>
                          <a:cs typeface="Cambria Math" panose="02040503050406030204" charset="0"/>
                        </a:rPr>
                        <m:t>𝑘</m:t>
                      </m:r>
                      <m:r>
                        <a:rPr lang="en-US" altLang="zh-CN" sz="1100" i="1">
                          <a:latin typeface="Cambria Math" panose="02040503050406030204" charset="0"/>
                          <a:cs typeface="Cambria Math" panose="02040503050406030204" charset="0"/>
                        </a:rPr>
                        <m:t>)</m:t>
                      </m:r>
                      <m:r>
                        <a:rPr lang="en-US" altLang="zh-CN" sz="1100" i="1">
                          <a:latin typeface="Cambria Math" panose="02040503050406030204" charset="0"/>
                          <a:cs typeface="Cambria Math" panose="02040503050406030204" charset="0"/>
                        </a:rPr>
                        <m:t>∗</m:t>
                      </m:r>
                      <m:r>
                        <a:rPr lang="en-US" altLang="zh-CN" sz="1100" i="1">
                          <a:latin typeface="Cambria Math" panose="02040503050406030204" charset="0"/>
                          <a:cs typeface="Cambria Math" panose="02040503050406030204" charset="0"/>
                        </a:rPr>
                        <m:t>100</m:t>
                      </m:r>
                      <m:r>
                        <a:rPr lang="en-US" altLang="zh-CN" sz="1100" i="1">
                          <a:latin typeface="Cambria Math" panose="02040503050406030204" charset="0"/>
                          <a:cs typeface="Cambria Math" panose="02040503050406030204" charset="0"/>
                        </a:rPr>
                        <m:t>%</m:t>
                      </m:r>
                    </m:e>
                  </m:nary>
                </m:oMath>
              </a14:m>
              <a:endParaRPr lang="en-US" altLang="zh-CN" sz="1100"/>
            </a:p>
          </xdr:txBody>
        </xdr:sp>
      </mc:Choice>
      <mc:Fallback>
        <xdr:sp>
          <xdr:nvSpPr>
            <xdr:cNvPr id="2" name="文本框 1"/>
            <xdr:cNvSpPr txBox="1"/>
          </xdr:nvSpPr>
          <xdr:spPr>
            <a:xfrm>
              <a:off x="3759200" y="825500"/>
              <a:ext cx="1845945" cy="25273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p>
              <a:pPr algn="l"/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(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∑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𝑖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0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𝑛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▒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𝑁</a:t>
              </a:r>
              <a:r>
                <a:rPr lang="en-US" altLang="zh-CN" sz="1100" baseline="-25000">
                  <a:solidFill>
                    <a:schemeClr val="tx1"/>
                  </a:solidFill>
                  <a:uFillTx/>
                  <a:latin typeface="Cambria Math" panose="02040503050406030204" charset="0"/>
                  <a:cs typeface="Cambria Math" panose="02040503050406030204" charset="0"/>
                </a:rPr>
                <a:t>𝑖</a:t>
              </a:r>
              <a:r>
                <a:rPr lang="en-US" altLang="zh-CN" sz="1100"/>
                <a:t>)/</a:t>
              </a:r>
              <a:r>
                <a:rPr lang="en-US" altLang="zh-CN" sz="1100"/>
                <a:t>(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∑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𝑖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0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𝑛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▒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𝑘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)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∗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100</a:t>
              </a:r>
              <a:r>
                <a:rPr lang="en-US" altLang="zh-CN" sz="1100">
                  <a:latin typeface="Cambria Math" panose="02040503050406030204" charset="0"/>
                  <a:cs typeface="Cambria Math" panose="02040503050406030204" charset="0"/>
                </a:rPr>
                <a:t>%</a:t>
              </a:r>
              <a:endParaRPr lang="en-US" altLang="zh-CN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36"/>
  <sheetViews>
    <sheetView tabSelected="1" zoomScale="145" zoomScaleNormal="145" workbookViewId="0">
      <selection activeCell="F4" sqref="F4"/>
    </sheetView>
  </sheetViews>
  <sheetFormatPr defaultColWidth="9" defaultRowHeight="14.4" outlineLevelCol="7"/>
  <cols>
    <col min="1" max="1" width="9" style="2"/>
    <col min="2" max="2" width="4.77777777777778" customWidth="1"/>
    <col min="3" max="3" width="10.7777777777778" customWidth="1"/>
    <col min="4" max="4" width="21" customWidth="1"/>
    <col min="5" max="5" width="8.66666666666667" customWidth="1"/>
    <col min="6" max="6" width="64.6851851851852" customWidth="1"/>
    <col min="7" max="7" width="10.5" customWidth="1"/>
    <col min="8" max="8" width="17.4444444444444" customWidth="1"/>
  </cols>
  <sheetData>
    <row r="1" ht="13.5" customHeight="1" spans="1:8">
      <c r="A1" s="3" t="s">
        <v>0</v>
      </c>
      <c r="B1" s="3"/>
      <c r="C1" s="3"/>
      <c r="D1" s="3"/>
      <c r="E1" s="3"/>
      <c r="F1" s="3"/>
      <c r="G1" s="3"/>
      <c r="H1" s="3"/>
    </row>
    <row r="2" ht="24" customHeight="1" spans="1:8">
      <c r="A2" s="3"/>
      <c r="B2" s="3"/>
      <c r="C2" s="3"/>
      <c r="D2" s="3"/>
      <c r="E2" s="3"/>
      <c r="F2" s="3"/>
      <c r="G2" s="3"/>
      <c r="H2" s="3"/>
    </row>
    <row r="3" ht="24.75" customHeight="1" spans="1:8">
      <c r="A3" s="4" t="s">
        <v>1</v>
      </c>
      <c r="B3" s="5" t="s">
        <v>2</v>
      </c>
      <c r="C3" s="5"/>
      <c r="D3" s="5" t="s">
        <v>3</v>
      </c>
      <c r="E3" s="5" t="s">
        <v>4</v>
      </c>
      <c r="F3" s="6" t="s">
        <v>5</v>
      </c>
      <c r="G3" s="5" t="s">
        <v>6</v>
      </c>
      <c r="H3" s="5" t="s">
        <v>7</v>
      </c>
    </row>
    <row r="4" ht="24" customHeight="1" spans="1:8">
      <c r="A4" s="7">
        <f>ROW()-3</f>
        <v>1</v>
      </c>
      <c r="B4" s="8" t="s">
        <v>8</v>
      </c>
      <c r="C4" s="8"/>
      <c r="D4" s="9" t="s">
        <v>9</v>
      </c>
      <c r="E4" s="9" t="s">
        <v>10</v>
      </c>
      <c r="F4" s="9"/>
      <c r="G4" s="9" t="s">
        <v>11</v>
      </c>
      <c r="H4" s="9" t="s">
        <v>12</v>
      </c>
    </row>
    <row r="5" spans="1:8">
      <c r="A5" s="7">
        <f t="shared" ref="A5:A14" si="0">ROW()-3</f>
        <v>2</v>
      </c>
      <c r="B5" s="8"/>
      <c r="C5" s="8"/>
      <c r="D5" s="9" t="s">
        <v>13</v>
      </c>
      <c r="E5" s="9" t="s">
        <v>14</v>
      </c>
      <c r="F5" s="9" t="s">
        <v>15</v>
      </c>
      <c r="G5" s="9" t="s">
        <v>16</v>
      </c>
      <c r="H5" s="9" t="s">
        <v>12</v>
      </c>
    </row>
    <row r="6" spans="1:8">
      <c r="A6" s="7">
        <f t="shared" si="0"/>
        <v>3</v>
      </c>
      <c r="B6" s="8"/>
      <c r="C6" s="8"/>
      <c r="D6" s="9" t="s">
        <v>17</v>
      </c>
      <c r="E6" s="9" t="s">
        <v>18</v>
      </c>
      <c r="F6" s="9" t="s">
        <v>19</v>
      </c>
      <c r="G6" s="9" t="s">
        <v>16</v>
      </c>
      <c r="H6" s="9" t="s">
        <v>12</v>
      </c>
    </row>
    <row r="7" spans="1:8">
      <c r="A7" s="7">
        <f t="shared" si="0"/>
        <v>4</v>
      </c>
      <c r="B7" s="8"/>
      <c r="C7" s="8"/>
      <c r="D7" s="9" t="s">
        <v>20</v>
      </c>
      <c r="E7" s="9" t="s">
        <v>18</v>
      </c>
      <c r="F7" s="9" t="s">
        <v>21</v>
      </c>
      <c r="G7" s="9" t="s">
        <v>16</v>
      </c>
      <c r="H7" s="9" t="s">
        <v>22</v>
      </c>
    </row>
    <row r="8" spans="1:8">
      <c r="A8" s="7">
        <f t="shared" si="0"/>
        <v>5</v>
      </c>
      <c r="B8" s="8" t="s">
        <v>23</v>
      </c>
      <c r="C8" s="8" t="s">
        <v>24</v>
      </c>
      <c r="D8" s="9" t="s">
        <v>25</v>
      </c>
      <c r="E8" s="9" t="s">
        <v>26</v>
      </c>
      <c r="F8" s="9" t="s">
        <v>27</v>
      </c>
      <c r="G8" s="9" t="s">
        <v>28</v>
      </c>
      <c r="H8" s="9" t="s">
        <v>29</v>
      </c>
    </row>
    <row r="9" spans="1:8">
      <c r="A9" s="7">
        <f t="shared" si="0"/>
        <v>6</v>
      </c>
      <c r="B9" s="8"/>
      <c r="C9" s="8" t="s">
        <v>30</v>
      </c>
      <c r="D9" s="9" t="s">
        <v>31</v>
      </c>
      <c r="E9" s="9" t="s">
        <v>26</v>
      </c>
      <c r="F9" s="9" t="s">
        <v>32</v>
      </c>
      <c r="G9" s="9" t="s">
        <v>28</v>
      </c>
      <c r="H9" s="9" t="s">
        <v>29</v>
      </c>
    </row>
    <row r="10" spans="1:8">
      <c r="A10" s="7">
        <f t="shared" si="0"/>
        <v>7</v>
      </c>
      <c r="B10" s="8"/>
      <c r="C10" s="8" t="s">
        <v>33</v>
      </c>
      <c r="D10" s="9" t="s">
        <v>34</v>
      </c>
      <c r="E10" s="9" t="s">
        <v>26</v>
      </c>
      <c r="F10" s="9" t="s">
        <v>35</v>
      </c>
      <c r="G10" s="9" t="s">
        <v>28</v>
      </c>
      <c r="H10" s="9" t="s">
        <v>29</v>
      </c>
    </row>
    <row r="11" spans="1:8">
      <c r="A11" s="7">
        <f t="shared" si="0"/>
        <v>8</v>
      </c>
      <c r="B11" s="8"/>
      <c r="C11" s="8" t="s">
        <v>36</v>
      </c>
      <c r="D11" s="9" t="s">
        <v>37</v>
      </c>
      <c r="E11" s="9" t="s">
        <v>26</v>
      </c>
      <c r="F11" s="9" t="s">
        <v>38</v>
      </c>
      <c r="G11" s="9" t="s">
        <v>28</v>
      </c>
      <c r="H11" s="9" t="s">
        <v>29</v>
      </c>
    </row>
    <row r="12" spans="1:8">
      <c r="A12" s="7">
        <v>9</v>
      </c>
      <c r="B12" s="8"/>
      <c r="C12" s="8" t="s">
        <v>39</v>
      </c>
      <c r="D12" s="9" t="s">
        <v>40</v>
      </c>
      <c r="E12" s="9" t="s">
        <v>10</v>
      </c>
      <c r="F12" s="9" t="s">
        <v>41</v>
      </c>
      <c r="G12" s="9" t="s">
        <v>28</v>
      </c>
      <c r="H12" s="9" t="s">
        <v>29</v>
      </c>
    </row>
    <row r="13" spans="1:8">
      <c r="A13" s="7">
        <f>ROW()-3</f>
        <v>10</v>
      </c>
      <c r="B13" s="8"/>
      <c r="C13" s="8" t="s">
        <v>42</v>
      </c>
      <c r="D13" s="9" t="s">
        <v>43</v>
      </c>
      <c r="E13" s="9" t="s">
        <v>44</v>
      </c>
      <c r="F13" s="9" t="s">
        <v>45</v>
      </c>
      <c r="G13" s="9" t="s">
        <v>16</v>
      </c>
      <c r="H13" s="9" t="s">
        <v>29</v>
      </c>
    </row>
    <row r="14" spans="1:8">
      <c r="A14" s="7">
        <f>ROW()-3</f>
        <v>11</v>
      </c>
      <c r="B14" s="8" t="s">
        <v>46</v>
      </c>
      <c r="C14" s="8" t="s">
        <v>47</v>
      </c>
      <c r="D14" s="9" t="s">
        <v>48</v>
      </c>
      <c r="E14" s="9" t="s">
        <v>18</v>
      </c>
      <c r="F14" s="9" t="s">
        <v>49</v>
      </c>
      <c r="G14" s="9" t="s">
        <v>16</v>
      </c>
      <c r="H14" s="9" t="s">
        <v>22</v>
      </c>
    </row>
    <row r="15" spans="1:8">
      <c r="A15" s="7">
        <f t="shared" ref="A15:A24" si="1">ROW()-3</f>
        <v>12</v>
      </c>
      <c r="B15" s="8"/>
      <c r="C15" s="8" t="s">
        <v>50</v>
      </c>
      <c r="D15" s="9" t="s">
        <v>51</v>
      </c>
      <c r="E15" s="9" t="s">
        <v>10</v>
      </c>
      <c r="F15" s="9" t="s">
        <v>52</v>
      </c>
      <c r="G15" s="9" t="s">
        <v>28</v>
      </c>
      <c r="H15" s="9" t="s">
        <v>22</v>
      </c>
    </row>
    <row r="16" spans="1:8">
      <c r="A16" s="7">
        <f t="shared" si="1"/>
        <v>13</v>
      </c>
      <c r="B16" s="8"/>
      <c r="C16" s="8" t="s">
        <v>53</v>
      </c>
      <c r="D16" s="9" t="s">
        <v>54</v>
      </c>
      <c r="E16" s="9" t="s">
        <v>10</v>
      </c>
      <c r="F16" s="9" t="s">
        <v>55</v>
      </c>
      <c r="G16" s="9" t="s">
        <v>28</v>
      </c>
      <c r="H16" s="9" t="s">
        <v>22</v>
      </c>
    </row>
    <row r="17" spans="1:8">
      <c r="A17" s="7">
        <f t="shared" si="1"/>
        <v>14</v>
      </c>
      <c r="B17" s="8"/>
      <c r="C17" s="8" t="s">
        <v>56</v>
      </c>
      <c r="D17" s="9" t="s">
        <v>57</v>
      </c>
      <c r="E17" s="9" t="s">
        <v>10</v>
      </c>
      <c r="F17" s="9" t="s">
        <v>58</v>
      </c>
      <c r="G17" s="9" t="s">
        <v>59</v>
      </c>
      <c r="H17" s="9" t="s">
        <v>22</v>
      </c>
    </row>
    <row r="18" spans="1:8">
      <c r="A18" s="7">
        <f t="shared" si="1"/>
        <v>15</v>
      </c>
      <c r="B18" s="8"/>
      <c r="C18" s="8"/>
      <c r="D18" s="9" t="s">
        <v>60</v>
      </c>
      <c r="E18" s="9" t="s">
        <v>10</v>
      </c>
      <c r="F18" s="9" t="s">
        <v>61</v>
      </c>
      <c r="G18" s="9" t="s">
        <v>28</v>
      </c>
      <c r="H18" s="9" t="s">
        <v>22</v>
      </c>
    </row>
    <row r="19" spans="1:8">
      <c r="A19" s="7">
        <f t="shared" si="1"/>
        <v>16</v>
      </c>
      <c r="B19" s="8"/>
      <c r="C19" s="8" t="s">
        <v>62</v>
      </c>
      <c r="D19" s="9" t="s">
        <v>63</v>
      </c>
      <c r="E19" s="9" t="s">
        <v>10</v>
      </c>
      <c r="F19" s="9" t="s">
        <v>64</v>
      </c>
      <c r="G19" s="9" t="s">
        <v>28</v>
      </c>
      <c r="H19" s="9" t="s">
        <v>22</v>
      </c>
    </row>
    <row r="20" spans="1:8">
      <c r="A20" s="7">
        <f t="shared" si="1"/>
        <v>17</v>
      </c>
      <c r="B20" s="8"/>
      <c r="C20" s="8"/>
      <c r="D20" s="9" t="s">
        <v>65</v>
      </c>
      <c r="E20" s="9" t="s">
        <v>10</v>
      </c>
      <c r="F20" s="9" t="s">
        <v>66</v>
      </c>
      <c r="G20" s="9" t="s">
        <v>28</v>
      </c>
      <c r="H20" s="9" t="s">
        <v>22</v>
      </c>
    </row>
    <row r="21" spans="1:8">
      <c r="A21" s="7">
        <f t="shared" si="1"/>
        <v>18</v>
      </c>
      <c r="B21" s="8"/>
      <c r="C21" s="8" t="s">
        <v>67</v>
      </c>
      <c r="D21" s="9" t="s">
        <v>68</v>
      </c>
      <c r="E21" s="9" t="s">
        <v>26</v>
      </c>
      <c r="F21" s="9" t="s">
        <v>69</v>
      </c>
      <c r="G21" s="9" t="s">
        <v>70</v>
      </c>
      <c r="H21" s="9" t="s">
        <v>22</v>
      </c>
    </row>
    <row r="22" spans="1:8">
      <c r="A22" s="7">
        <f t="shared" si="1"/>
        <v>19</v>
      </c>
      <c r="B22" s="8"/>
      <c r="C22" s="8" t="s">
        <v>71</v>
      </c>
      <c r="D22" s="9" t="s">
        <v>72</v>
      </c>
      <c r="E22" s="9" t="s">
        <v>73</v>
      </c>
      <c r="F22" s="9" t="s">
        <v>74</v>
      </c>
      <c r="G22" s="9" t="s">
        <v>59</v>
      </c>
      <c r="H22" s="9" t="s">
        <v>22</v>
      </c>
    </row>
    <row r="23" spans="1:8">
      <c r="A23" s="7">
        <f t="shared" si="1"/>
        <v>20</v>
      </c>
      <c r="B23" s="8"/>
      <c r="C23" s="8" t="s">
        <v>75</v>
      </c>
      <c r="D23" s="9" t="s">
        <v>76</v>
      </c>
      <c r="E23" s="9" t="s">
        <v>73</v>
      </c>
      <c r="F23" s="9" t="s">
        <v>77</v>
      </c>
      <c r="G23" s="9" t="s">
        <v>59</v>
      </c>
      <c r="H23" s="9" t="s">
        <v>22</v>
      </c>
    </row>
    <row r="24" spans="1:8">
      <c r="A24" s="7">
        <f t="shared" si="1"/>
        <v>21</v>
      </c>
      <c r="B24" s="8"/>
      <c r="C24" s="8" t="s">
        <v>78</v>
      </c>
      <c r="D24" s="9" t="s">
        <v>79</v>
      </c>
      <c r="E24" s="9" t="s">
        <v>10</v>
      </c>
      <c r="F24" s="9" t="s">
        <v>80</v>
      </c>
      <c r="G24" s="9" t="s">
        <v>59</v>
      </c>
      <c r="H24" s="9" t="s">
        <v>22</v>
      </c>
    </row>
    <row r="25" spans="1:8">
      <c r="A25" s="7">
        <f t="shared" ref="A25:A36" si="2">ROW()-3</f>
        <v>22</v>
      </c>
      <c r="B25" s="8"/>
      <c r="C25" s="8"/>
      <c r="D25" s="9" t="s">
        <v>81</v>
      </c>
      <c r="E25" s="9" t="s">
        <v>82</v>
      </c>
      <c r="F25" s="9" t="s">
        <v>83</v>
      </c>
      <c r="G25" s="9" t="s">
        <v>59</v>
      </c>
      <c r="H25" s="9" t="s">
        <v>22</v>
      </c>
    </row>
    <row r="26" spans="1:8">
      <c r="A26" s="7">
        <f t="shared" si="2"/>
        <v>23</v>
      </c>
      <c r="B26" s="8"/>
      <c r="C26" s="8" t="s">
        <v>84</v>
      </c>
      <c r="D26" s="9" t="s">
        <v>85</v>
      </c>
      <c r="E26" s="9" t="s">
        <v>82</v>
      </c>
      <c r="F26" s="9" t="s">
        <v>86</v>
      </c>
      <c r="G26" s="9" t="s">
        <v>16</v>
      </c>
      <c r="H26" s="9" t="s">
        <v>22</v>
      </c>
    </row>
    <row r="27" spans="1:8">
      <c r="A27" s="7">
        <f t="shared" si="2"/>
        <v>24</v>
      </c>
      <c r="B27" s="8"/>
      <c r="C27" s="8" t="s">
        <v>87</v>
      </c>
      <c r="D27" s="9" t="s">
        <v>88</v>
      </c>
      <c r="E27" s="9" t="s">
        <v>82</v>
      </c>
      <c r="F27" s="9" t="s">
        <v>89</v>
      </c>
      <c r="G27" s="9" t="s">
        <v>16</v>
      </c>
      <c r="H27" s="9" t="s">
        <v>22</v>
      </c>
    </row>
    <row r="28" s="1" customFormat="1" spans="1:8">
      <c r="A28" s="7">
        <f t="shared" si="2"/>
        <v>25</v>
      </c>
      <c r="B28" s="8" t="s">
        <v>90</v>
      </c>
      <c r="C28" s="8"/>
      <c r="D28" s="9" t="s">
        <v>91</v>
      </c>
      <c r="E28" s="9" t="s">
        <v>44</v>
      </c>
      <c r="F28" s="9" t="s">
        <v>92</v>
      </c>
      <c r="G28" s="9" t="s">
        <v>28</v>
      </c>
      <c r="H28" s="9" t="s">
        <v>93</v>
      </c>
    </row>
    <row r="29" s="1" customFormat="1" spans="1:8">
      <c r="A29" s="7">
        <f t="shared" si="2"/>
        <v>26</v>
      </c>
      <c r="B29" s="8"/>
      <c r="C29" s="8"/>
      <c r="D29" s="9" t="s">
        <v>94</v>
      </c>
      <c r="E29" s="9" t="s">
        <v>95</v>
      </c>
      <c r="F29" s="9" t="s">
        <v>96</v>
      </c>
      <c r="G29" s="9" t="s">
        <v>16</v>
      </c>
      <c r="H29" s="9" t="s">
        <v>93</v>
      </c>
    </row>
    <row r="30" s="1" customFormat="1" spans="1:8">
      <c r="A30" s="7">
        <f t="shared" si="2"/>
        <v>27</v>
      </c>
      <c r="B30" s="8" t="s">
        <v>97</v>
      </c>
      <c r="C30" s="8" t="s">
        <v>98</v>
      </c>
      <c r="D30" s="9" t="s">
        <v>99</v>
      </c>
      <c r="E30" s="9" t="s">
        <v>26</v>
      </c>
      <c r="F30" s="9" t="s">
        <v>100</v>
      </c>
      <c r="G30" s="9" t="s">
        <v>28</v>
      </c>
      <c r="H30" s="9" t="s">
        <v>22</v>
      </c>
    </row>
    <row r="31" s="1" customFormat="1" spans="1:8">
      <c r="A31" s="7">
        <f t="shared" si="2"/>
        <v>28</v>
      </c>
      <c r="B31" s="8"/>
      <c r="C31" s="8" t="s">
        <v>101</v>
      </c>
      <c r="D31" s="9" t="s">
        <v>102</v>
      </c>
      <c r="E31" s="9" t="s">
        <v>10</v>
      </c>
      <c r="F31" s="9" t="s">
        <v>103</v>
      </c>
      <c r="G31" s="9" t="s">
        <v>28</v>
      </c>
      <c r="H31" s="9" t="s">
        <v>22</v>
      </c>
    </row>
    <row r="32" s="1" customFormat="1" spans="1:8">
      <c r="A32" s="7">
        <f t="shared" si="2"/>
        <v>29</v>
      </c>
      <c r="B32" s="8"/>
      <c r="C32" s="8" t="s">
        <v>104</v>
      </c>
      <c r="D32" s="9" t="s">
        <v>105</v>
      </c>
      <c r="E32" s="9" t="s">
        <v>106</v>
      </c>
      <c r="F32" s="9" t="s">
        <v>107</v>
      </c>
      <c r="G32" s="9" t="s">
        <v>28</v>
      </c>
      <c r="H32" s="9" t="s">
        <v>22</v>
      </c>
    </row>
    <row r="33" spans="1:8">
      <c r="A33" s="7">
        <f t="shared" si="2"/>
        <v>30</v>
      </c>
      <c r="B33" s="8"/>
      <c r="C33" s="8" t="s">
        <v>108</v>
      </c>
      <c r="D33" s="9" t="s">
        <v>109</v>
      </c>
      <c r="E33" s="9" t="s">
        <v>18</v>
      </c>
      <c r="F33" s="9" t="s">
        <v>110</v>
      </c>
      <c r="G33" s="9" t="s">
        <v>70</v>
      </c>
      <c r="H33" s="9" t="s">
        <v>93</v>
      </c>
    </row>
    <row r="34" spans="1:8">
      <c r="A34" s="7">
        <f t="shared" si="2"/>
        <v>31</v>
      </c>
      <c r="B34" s="8"/>
      <c r="C34" s="8" t="s">
        <v>111</v>
      </c>
      <c r="D34" s="9" t="s">
        <v>112</v>
      </c>
      <c r="E34" s="9" t="s">
        <v>113</v>
      </c>
      <c r="F34" s="9" t="s">
        <v>114</v>
      </c>
      <c r="G34" s="9" t="s">
        <v>28</v>
      </c>
      <c r="H34" s="9" t="s">
        <v>22</v>
      </c>
    </row>
    <row r="35" spans="1:8">
      <c r="A35" s="7">
        <f t="shared" si="2"/>
        <v>32</v>
      </c>
      <c r="B35" s="8" t="s">
        <v>115</v>
      </c>
      <c r="C35" s="8"/>
      <c r="D35" s="9" t="s">
        <v>116</v>
      </c>
      <c r="E35" s="10">
        <v>1</v>
      </c>
      <c r="F35" s="9" t="s">
        <v>117</v>
      </c>
      <c r="G35" s="9" t="s">
        <v>16</v>
      </c>
      <c r="H35" s="9" t="s">
        <v>22</v>
      </c>
    </row>
    <row r="36" spans="1:8">
      <c r="A36" s="7">
        <f t="shared" si="2"/>
        <v>33</v>
      </c>
      <c r="B36" s="8" t="s">
        <v>118</v>
      </c>
      <c r="C36" s="8"/>
      <c r="D36" s="9" t="s">
        <v>119</v>
      </c>
      <c r="E36" s="9" t="s">
        <v>18</v>
      </c>
      <c r="F36" s="9" t="s">
        <v>120</v>
      </c>
      <c r="G36" s="9" t="s">
        <v>16</v>
      </c>
      <c r="H36" s="9" t="s">
        <v>22</v>
      </c>
    </row>
  </sheetData>
  <mergeCells count="12">
    <mergeCell ref="B3:C3"/>
    <mergeCell ref="B35:C35"/>
    <mergeCell ref="B36:C36"/>
    <mergeCell ref="B8:B13"/>
    <mergeCell ref="B14:B27"/>
    <mergeCell ref="B30:B34"/>
    <mergeCell ref="C17:C18"/>
    <mergeCell ref="C19:C20"/>
    <mergeCell ref="C24:C25"/>
    <mergeCell ref="B4:C7"/>
    <mergeCell ref="B28:C29"/>
    <mergeCell ref="A1:H2"/>
  </mergeCells>
  <pageMargins left="0.707638888888889" right="0.511805555555556" top="0.747916666666667" bottom="0.747916666666667" header="0.313888888888889" footer="0.313888888888889"/>
  <pageSetup paperSize="9" scale="92" fitToHeight="0" orientation="landscape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KPI指标体系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郝宇</cp:lastModifiedBy>
  <dcterms:created xsi:type="dcterms:W3CDTF">2013-11-05T07:08:00Z</dcterms:created>
  <cp:lastPrinted>2014-02-10T07:30:00Z</cp:lastPrinted>
  <dcterms:modified xsi:type="dcterms:W3CDTF">2026-01-26T17:39:02Z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4471DCAD1F3E470081F12B195AB9F83A_13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